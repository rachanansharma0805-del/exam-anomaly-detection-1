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na sharma\exam-hall-anomaly\data\week3_anomaly_detection_finalised\"/>
    </mc:Choice>
  </mc:AlternateContent>
  <xr:revisionPtr revIDLastSave="0" documentId="13_ncr:1_{5F208F6B-E096-4D2E-91A8-D015609C80BF}" xr6:coauthVersionLast="47" xr6:coauthVersionMax="47" xr10:uidLastSave="{00000000-0000-0000-0000-000000000000}"/>
  <bookViews>
    <workbookView xWindow="-108" yWindow="-108" windowWidth="23256" windowHeight="12456" xr2:uid="{19228922-A76A-4965-9308-293986475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K2" i="1"/>
  <c r="L2" i="1"/>
  <c r="J2" i="1"/>
  <c r="I2" i="1"/>
</calcChain>
</file>

<file path=xl/sharedStrings.xml><?xml version="1.0" encoding="utf-8"?>
<sst xmlns="http://schemas.openxmlformats.org/spreadsheetml/2006/main" count="339" uniqueCount="84">
  <si>
    <t>frame</t>
  </si>
  <si>
    <t>person_id</t>
  </si>
  <si>
    <t>type</t>
  </si>
  <si>
    <t>timestamp</t>
  </si>
  <si>
    <t>clip_start</t>
  </si>
  <si>
    <t>clip_end</t>
  </si>
  <si>
    <t>Looking Away</t>
  </si>
  <si>
    <t>1.03s</t>
  </si>
  <si>
    <t>Excessive Head Turn</t>
  </si>
  <si>
    <t>1.07s</t>
  </si>
  <si>
    <t>1.27s</t>
  </si>
  <si>
    <t>Excessive Hand Movement</t>
  </si>
  <si>
    <t>1.37s</t>
  </si>
  <si>
    <t>1.47s</t>
  </si>
  <si>
    <t>1.50s</t>
  </si>
  <si>
    <t>1.67s</t>
  </si>
  <si>
    <t>2.03s</t>
  </si>
  <si>
    <t>2.30s</t>
  </si>
  <si>
    <t>2.43s</t>
  </si>
  <si>
    <t>Hands Raised</t>
  </si>
  <si>
    <t>2.53s</t>
  </si>
  <si>
    <t>2.67s</t>
  </si>
  <si>
    <t>2.87s</t>
  </si>
  <si>
    <t>3.03s</t>
  </si>
  <si>
    <t>3.43s</t>
  </si>
  <si>
    <t>3.53s</t>
  </si>
  <si>
    <t>3.67s</t>
  </si>
  <si>
    <t>3.87s</t>
  </si>
  <si>
    <t>4.03s</t>
  </si>
  <si>
    <t>4.43s</t>
  </si>
  <si>
    <t>4.67s</t>
  </si>
  <si>
    <t>4.87s</t>
  </si>
  <si>
    <t>5.03s</t>
  </si>
  <si>
    <t>5.13s</t>
  </si>
  <si>
    <t>5.23s</t>
  </si>
  <si>
    <t>5.87s</t>
  </si>
  <si>
    <t>6.03s</t>
  </si>
  <si>
    <t>6.13s</t>
  </si>
  <si>
    <t>6.27s</t>
  </si>
  <si>
    <t>6.87s</t>
  </si>
  <si>
    <t>7.03s</t>
  </si>
  <si>
    <t>7.57s</t>
  </si>
  <si>
    <t>7.63s</t>
  </si>
  <si>
    <t>8.17s</t>
  </si>
  <si>
    <t>8.57s</t>
  </si>
  <si>
    <t>9.17s</t>
  </si>
  <si>
    <t>10.47s</t>
  </si>
  <si>
    <t>10.87s</t>
  </si>
  <si>
    <t>11.73s</t>
  </si>
  <si>
    <t>12.73s</t>
  </si>
  <si>
    <t>12.90s</t>
  </si>
  <si>
    <t>14.10s</t>
  </si>
  <si>
    <t>Verdict</t>
  </si>
  <si>
    <t>Notes</t>
  </si>
  <si>
    <t>TP</t>
  </si>
  <si>
    <t>TP - cannot be considered</t>
  </si>
  <si>
    <t>clearly looked away but ids are overlapping</t>
  </si>
  <si>
    <t>turned back</t>
  </si>
  <si>
    <t xml:space="preserve">looked away </t>
  </si>
  <si>
    <t>invigilator detected as an anomaly</t>
  </si>
  <si>
    <t>FP</t>
  </si>
  <si>
    <t>blur makes it difficult, leading to wrong detections</t>
  </si>
  <si>
    <t>looked at the front and dramatic head turn</t>
  </si>
  <si>
    <t>""</t>
  </si>
  <si>
    <t>did not make excessive movements, it was made by person id 1</t>
  </si>
  <si>
    <t>hands weren't raised</t>
  </si>
  <si>
    <t>yes slightly looked away but invigilator - wrongly detected</t>
  </si>
  <si>
    <t>yes excessively turned his head back</t>
  </si>
  <si>
    <t>yes looked away</t>
  </si>
  <si>
    <t>a little raised from the surface level</t>
  </si>
  <si>
    <t xml:space="preserve">face blur creates ambiguity </t>
  </si>
  <si>
    <t xml:space="preserve">invigilator identified </t>
  </si>
  <si>
    <t>invigilator misidentified</t>
  </si>
  <si>
    <t>invigilator flagged</t>
  </si>
  <si>
    <t>same person as id 1</t>
  </si>
  <si>
    <t>14.20s</t>
  </si>
  <si>
    <t>FN</t>
  </si>
  <si>
    <t xml:space="preserve">FN </t>
  </si>
  <si>
    <t>Count of TP</t>
  </si>
  <si>
    <t>Count of FP</t>
  </si>
  <si>
    <t>Count of FN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</si>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</sst>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B04B-3B56-423F-9687-1BA3B89254BF}">
  <dimension ref="A1:N103"/>
  <sheetViews>
    <sheetView tabSelected="1" topLeftCell="B1" workbookViewId="0">
      <selection activeCell="M6" sqref="M6"/>
    </sheetView>
  </sheetViews>
  <sheetFormatPr defaultRowHeight="14.4" x14ac:dyDescent="0.3"/>
  <cols>
    <col min="7" max="7" width="22.33203125" customWidth="1"/>
    <col min="8" max="8" width="56.77734375" customWidth="1"/>
    <col min="9" max="9" width="11.6640625" customWidth="1"/>
    <col min="10" max="10" width="10.44140625" customWidth="1"/>
    <col min="11" max="11" width="1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52</v>
      </c>
      <c r="H1" t="s">
        <v>53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</row>
    <row r="2" spans="1:14" x14ac:dyDescent="0.3">
      <c r="A2">
        <v>31</v>
      </c>
      <c r="B2">
        <v>6</v>
      </c>
      <c r="C2" t="s">
        <v>6</v>
      </c>
      <c r="D2" t="s">
        <v>7</v>
      </c>
      <c r="E2">
        <v>0</v>
      </c>
      <c r="F2">
        <v>91</v>
      </c>
      <c r="G2" t="s">
        <v>60</v>
      </c>
      <c r="H2" t="s">
        <v>56</v>
      </c>
      <c r="I2">
        <f>COUNTIF(G2:G101,"TP")</f>
        <v>78</v>
      </c>
      <c r="J2">
        <f>COUNTIF(G2:G101,"FP")</f>
        <v>16</v>
      </c>
      <c r="K2">
        <f>COUNTIF(G2:G106,"FN")</f>
        <v>5</v>
      </c>
      <c r="L2">
        <f>78/94</f>
        <v>0.82978723404255317</v>
      </c>
      <c r="M2">
        <f>78/83</f>
        <v>0.93975903614457834</v>
      </c>
      <c r="N2">
        <v>0.88100000000000001</v>
      </c>
    </row>
    <row r="3" spans="1:14" x14ac:dyDescent="0.3">
      <c r="A3">
        <v>32</v>
      </c>
      <c r="B3">
        <v>1</v>
      </c>
      <c r="C3" t="s">
        <v>8</v>
      </c>
      <c r="D3" t="s">
        <v>9</v>
      </c>
      <c r="E3">
        <v>0</v>
      </c>
      <c r="F3">
        <v>92</v>
      </c>
      <c r="G3" t="s">
        <v>54</v>
      </c>
      <c r="H3" t="s">
        <v>57</v>
      </c>
    </row>
    <row r="4" spans="1:14" x14ac:dyDescent="0.3">
      <c r="A4">
        <v>32</v>
      </c>
      <c r="B4">
        <v>1</v>
      </c>
      <c r="C4" t="s">
        <v>6</v>
      </c>
      <c r="D4" t="s">
        <v>9</v>
      </c>
      <c r="E4">
        <v>0</v>
      </c>
      <c r="F4">
        <v>92</v>
      </c>
      <c r="G4" t="s">
        <v>54</v>
      </c>
      <c r="H4" t="s">
        <v>58</v>
      </c>
    </row>
    <row r="5" spans="1:14" x14ac:dyDescent="0.3">
      <c r="A5">
        <v>38</v>
      </c>
      <c r="B5">
        <v>3</v>
      </c>
      <c r="C5" t="s">
        <v>6</v>
      </c>
      <c r="D5" t="s">
        <v>10</v>
      </c>
      <c r="E5">
        <v>0</v>
      </c>
      <c r="F5">
        <v>98</v>
      </c>
      <c r="G5" t="s">
        <v>55</v>
      </c>
      <c r="H5" t="s">
        <v>59</v>
      </c>
    </row>
    <row r="6" spans="1:14" x14ac:dyDescent="0.3">
      <c r="A6">
        <v>41</v>
      </c>
      <c r="B6">
        <v>6</v>
      </c>
      <c r="C6" t="s">
        <v>11</v>
      </c>
      <c r="D6" t="s">
        <v>12</v>
      </c>
      <c r="E6">
        <v>0</v>
      </c>
      <c r="F6">
        <v>101</v>
      </c>
      <c r="G6" t="s">
        <v>60</v>
      </c>
    </row>
    <row r="7" spans="1:14" x14ac:dyDescent="0.3">
      <c r="A7">
        <v>44</v>
      </c>
      <c r="B7">
        <v>6</v>
      </c>
      <c r="C7" t="s">
        <v>8</v>
      </c>
      <c r="D7" t="s">
        <v>13</v>
      </c>
      <c r="E7">
        <v>0</v>
      </c>
      <c r="F7">
        <v>104</v>
      </c>
      <c r="G7" t="s">
        <v>60</v>
      </c>
    </row>
    <row r="8" spans="1:14" x14ac:dyDescent="0.3">
      <c r="A8">
        <v>45</v>
      </c>
      <c r="B8">
        <v>1</v>
      </c>
      <c r="C8" t="s">
        <v>11</v>
      </c>
      <c r="D8" t="s">
        <v>14</v>
      </c>
      <c r="E8">
        <v>0</v>
      </c>
      <c r="F8">
        <v>105</v>
      </c>
      <c r="G8" t="s">
        <v>54</v>
      </c>
    </row>
    <row r="9" spans="1:14" x14ac:dyDescent="0.3">
      <c r="A9">
        <v>50</v>
      </c>
      <c r="B9">
        <v>3</v>
      </c>
      <c r="C9" t="s">
        <v>8</v>
      </c>
      <c r="D9" t="s">
        <v>15</v>
      </c>
      <c r="E9">
        <v>0</v>
      </c>
      <c r="F9">
        <v>110</v>
      </c>
      <c r="G9" t="s">
        <v>54</v>
      </c>
    </row>
    <row r="10" spans="1:14" x14ac:dyDescent="0.3">
      <c r="A10">
        <v>61</v>
      </c>
      <c r="B10">
        <v>6</v>
      </c>
      <c r="C10" t="s">
        <v>6</v>
      </c>
      <c r="D10" t="s">
        <v>16</v>
      </c>
      <c r="E10">
        <v>1</v>
      </c>
      <c r="F10">
        <v>121</v>
      </c>
      <c r="G10" t="s">
        <v>60</v>
      </c>
      <c r="H10" t="s">
        <v>61</v>
      </c>
    </row>
    <row r="11" spans="1:14" x14ac:dyDescent="0.3">
      <c r="A11">
        <v>69</v>
      </c>
      <c r="B11">
        <v>2</v>
      </c>
      <c r="C11" t="s">
        <v>11</v>
      </c>
      <c r="D11" t="s">
        <v>17</v>
      </c>
      <c r="E11">
        <v>9</v>
      </c>
      <c r="F11">
        <v>129</v>
      </c>
      <c r="G11" t="s">
        <v>54</v>
      </c>
      <c r="H11" t="s">
        <v>62</v>
      </c>
    </row>
    <row r="12" spans="1:14" x14ac:dyDescent="0.3">
      <c r="A12">
        <v>69</v>
      </c>
      <c r="B12">
        <v>2</v>
      </c>
      <c r="C12" t="s">
        <v>6</v>
      </c>
      <c r="D12" t="s">
        <v>17</v>
      </c>
      <c r="E12">
        <v>9</v>
      </c>
      <c r="F12">
        <v>129</v>
      </c>
      <c r="G12" t="s">
        <v>54</v>
      </c>
      <c r="H12" t="s">
        <v>63</v>
      </c>
    </row>
    <row r="13" spans="1:14" x14ac:dyDescent="0.3">
      <c r="A13">
        <v>73</v>
      </c>
      <c r="B13">
        <v>3</v>
      </c>
      <c r="C13" t="s">
        <v>11</v>
      </c>
      <c r="D13" t="s">
        <v>18</v>
      </c>
      <c r="E13">
        <v>13</v>
      </c>
      <c r="F13">
        <v>133</v>
      </c>
      <c r="G13" t="s">
        <v>60</v>
      </c>
      <c r="H13" t="s">
        <v>64</v>
      </c>
    </row>
    <row r="14" spans="1:14" x14ac:dyDescent="0.3">
      <c r="A14">
        <v>73</v>
      </c>
      <c r="B14">
        <v>3</v>
      </c>
      <c r="C14" t="s">
        <v>6</v>
      </c>
      <c r="D14" t="s">
        <v>18</v>
      </c>
      <c r="E14">
        <v>13</v>
      </c>
      <c r="F14">
        <v>133</v>
      </c>
      <c r="G14" t="s">
        <v>54</v>
      </c>
      <c r="H14" t="s">
        <v>66</v>
      </c>
    </row>
    <row r="15" spans="1:14" x14ac:dyDescent="0.3">
      <c r="A15">
        <v>73</v>
      </c>
      <c r="B15">
        <v>3</v>
      </c>
      <c r="C15" t="s">
        <v>19</v>
      </c>
      <c r="D15" t="s">
        <v>18</v>
      </c>
      <c r="E15">
        <v>13</v>
      </c>
      <c r="F15">
        <v>133</v>
      </c>
      <c r="G15" t="s">
        <v>60</v>
      </c>
      <c r="H15" t="s">
        <v>65</v>
      </c>
    </row>
    <row r="16" spans="1:14" x14ac:dyDescent="0.3">
      <c r="A16">
        <v>76</v>
      </c>
      <c r="B16">
        <v>1</v>
      </c>
      <c r="C16" t="s">
        <v>11</v>
      </c>
      <c r="D16" t="s">
        <v>20</v>
      </c>
      <c r="E16">
        <v>16</v>
      </c>
      <c r="F16">
        <v>136</v>
      </c>
      <c r="G16" t="s">
        <v>54</v>
      </c>
      <c r="H16" t="s">
        <v>67</v>
      </c>
    </row>
    <row r="17" spans="1:8" x14ac:dyDescent="0.3">
      <c r="A17">
        <v>76</v>
      </c>
      <c r="B17">
        <v>1</v>
      </c>
      <c r="C17" t="s">
        <v>6</v>
      </c>
      <c r="D17" t="s">
        <v>20</v>
      </c>
      <c r="E17">
        <v>16</v>
      </c>
      <c r="F17">
        <v>136</v>
      </c>
      <c r="G17" t="s">
        <v>54</v>
      </c>
      <c r="H17" t="s">
        <v>68</v>
      </c>
    </row>
    <row r="18" spans="1:8" x14ac:dyDescent="0.3">
      <c r="A18">
        <v>76</v>
      </c>
      <c r="B18">
        <v>1</v>
      </c>
      <c r="C18" t="s">
        <v>19</v>
      </c>
      <c r="D18" t="s">
        <v>20</v>
      </c>
      <c r="E18">
        <v>16</v>
      </c>
      <c r="F18">
        <v>136</v>
      </c>
      <c r="G18" t="s">
        <v>54</v>
      </c>
      <c r="H18" t="s">
        <v>69</v>
      </c>
    </row>
    <row r="19" spans="1:8" x14ac:dyDescent="0.3">
      <c r="A19">
        <v>80</v>
      </c>
      <c r="B19">
        <v>3</v>
      </c>
      <c r="C19" t="s">
        <v>8</v>
      </c>
      <c r="D19" t="s">
        <v>21</v>
      </c>
      <c r="E19">
        <v>20</v>
      </c>
      <c r="F19">
        <v>140</v>
      </c>
      <c r="G19" t="s">
        <v>54</v>
      </c>
    </row>
    <row r="20" spans="1:8" x14ac:dyDescent="0.3">
      <c r="A20">
        <v>86</v>
      </c>
      <c r="B20">
        <v>6</v>
      </c>
      <c r="C20" t="s">
        <v>11</v>
      </c>
      <c r="D20" t="s">
        <v>22</v>
      </c>
      <c r="E20">
        <v>26</v>
      </c>
      <c r="F20">
        <v>146</v>
      </c>
      <c r="G20" t="s">
        <v>60</v>
      </c>
    </row>
    <row r="21" spans="1:8" x14ac:dyDescent="0.3">
      <c r="A21">
        <v>86</v>
      </c>
      <c r="B21">
        <v>6</v>
      </c>
      <c r="C21" t="s">
        <v>19</v>
      </c>
      <c r="D21" t="s">
        <v>22</v>
      </c>
      <c r="E21">
        <v>26</v>
      </c>
      <c r="F21">
        <v>146</v>
      </c>
      <c r="G21" t="s">
        <v>60</v>
      </c>
    </row>
    <row r="22" spans="1:8" x14ac:dyDescent="0.3">
      <c r="A22">
        <v>91</v>
      </c>
      <c r="B22">
        <v>6</v>
      </c>
      <c r="C22" t="s">
        <v>6</v>
      </c>
      <c r="D22" t="s">
        <v>23</v>
      </c>
      <c r="E22">
        <v>31</v>
      </c>
      <c r="F22">
        <v>151</v>
      </c>
      <c r="G22" t="s">
        <v>60</v>
      </c>
      <c r="H22" t="s">
        <v>70</v>
      </c>
    </row>
    <row r="23" spans="1:8" x14ac:dyDescent="0.3">
      <c r="A23">
        <v>103</v>
      </c>
      <c r="B23">
        <v>3</v>
      </c>
      <c r="C23" t="s">
        <v>11</v>
      </c>
      <c r="D23" t="s">
        <v>24</v>
      </c>
      <c r="E23">
        <v>43</v>
      </c>
      <c r="F23">
        <v>163</v>
      </c>
      <c r="G23" t="s">
        <v>54</v>
      </c>
      <c r="H23" t="s">
        <v>71</v>
      </c>
    </row>
    <row r="24" spans="1:8" x14ac:dyDescent="0.3">
      <c r="A24">
        <v>103</v>
      </c>
      <c r="B24">
        <v>3</v>
      </c>
      <c r="C24" t="s">
        <v>6</v>
      </c>
      <c r="D24" t="s">
        <v>24</v>
      </c>
      <c r="E24">
        <v>43</v>
      </c>
      <c r="F24">
        <v>163</v>
      </c>
      <c r="G24" t="s">
        <v>54</v>
      </c>
      <c r="H24" t="s">
        <v>71</v>
      </c>
    </row>
    <row r="25" spans="1:8" x14ac:dyDescent="0.3">
      <c r="A25">
        <v>103</v>
      </c>
      <c r="B25">
        <v>3</v>
      </c>
      <c r="C25" t="s">
        <v>19</v>
      </c>
      <c r="D25" t="s">
        <v>24</v>
      </c>
      <c r="E25">
        <v>43</v>
      </c>
      <c r="F25">
        <v>163</v>
      </c>
      <c r="G25" t="s">
        <v>54</v>
      </c>
      <c r="H25" t="s">
        <v>71</v>
      </c>
    </row>
    <row r="26" spans="1:8" x14ac:dyDescent="0.3">
      <c r="A26">
        <v>106</v>
      </c>
      <c r="B26">
        <v>1</v>
      </c>
      <c r="C26" t="s">
        <v>11</v>
      </c>
      <c r="D26" t="s">
        <v>25</v>
      </c>
      <c r="E26">
        <v>46</v>
      </c>
      <c r="F26">
        <v>166</v>
      </c>
      <c r="G26" t="s">
        <v>54</v>
      </c>
    </row>
    <row r="27" spans="1:8" x14ac:dyDescent="0.3">
      <c r="A27">
        <v>106</v>
      </c>
      <c r="B27">
        <v>1</v>
      </c>
      <c r="C27" t="s">
        <v>8</v>
      </c>
      <c r="D27" t="s">
        <v>25</v>
      </c>
      <c r="E27">
        <v>46</v>
      </c>
      <c r="F27">
        <v>166</v>
      </c>
      <c r="G27" t="s">
        <v>54</v>
      </c>
    </row>
    <row r="28" spans="1:8" x14ac:dyDescent="0.3">
      <c r="A28">
        <v>106</v>
      </c>
      <c r="B28">
        <v>1</v>
      </c>
      <c r="C28" t="s">
        <v>6</v>
      </c>
      <c r="D28" t="s">
        <v>25</v>
      </c>
      <c r="E28">
        <v>46</v>
      </c>
      <c r="F28">
        <v>166</v>
      </c>
      <c r="G28" t="s">
        <v>54</v>
      </c>
    </row>
    <row r="29" spans="1:8" x14ac:dyDescent="0.3">
      <c r="A29">
        <v>106</v>
      </c>
      <c r="B29">
        <v>1</v>
      </c>
      <c r="C29" t="s">
        <v>19</v>
      </c>
      <c r="D29" t="s">
        <v>25</v>
      </c>
      <c r="E29">
        <v>46</v>
      </c>
      <c r="F29">
        <v>166</v>
      </c>
      <c r="G29" t="s">
        <v>54</v>
      </c>
    </row>
    <row r="30" spans="1:8" x14ac:dyDescent="0.3">
      <c r="A30">
        <v>110</v>
      </c>
      <c r="B30">
        <v>3</v>
      </c>
      <c r="C30" t="s">
        <v>8</v>
      </c>
      <c r="D30" t="s">
        <v>26</v>
      </c>
      <c r="E30">
        <v>50</v>
      </c>
      <c r="F30">
        <v>170</v>
      </c>
      <c r="G30" t="s">
        <v>54</v>
      </c>
      <c r="H30" t="s">
        <v>72</v>
      </c>
    </row>
    <row r="31" spans="1:8" x14ac:dyDescent="0.3">
      <c r="A31">
        <v>116</v>
      </c>
      <c r="B31">
        <v>6</v>
      </c>
      <c r="C31" t="s">
        <v>11</v>
      </c>
      <c r="D31" t="s">
        <v>27</v>
      </c>
      <c r="E31">
        <v>56</v>
      </c>
      <c r="F31">
        <v>176</v>
      </c>
      <c r="G31" t="s">
        <v>60</v>
      </c>
    </row>
    <row r="32" spans="1:8" x14ac:dyDescent="0.3">
      <c r="A32">
        <v>116</v>
      </c>
      <c r="B32">
        <v>6</v>
      </c>
      <c r="C32" t="s">
        <v>19</v>
      </c>
      <c r="D32" t="s">
        <v>27</v>
      </c>
      <c r="E32">
        <v>56</v>
      </c>
      <c r="F32">
        <v>176</v>
      </c>
      <c r="G32" t="s">
        <v>60</v>
      </c>
    </row>
    <row r="33" spans="1:8" x14ac:dyDescent="0.3">
      <c r="A33">
        <v>121</v>
      </c>
      <c r="B33">
        <v>6</v>
      </c>
      <c r="C33" t="s">
        <v>6</v>
      </c>
      <c r="D33" t="s">
        <v>28</v>
      </c>
      <c r="E33">
        <v>61</v>
      </c>
      <c r="F33">
        <v>181</v>
      </c>
      <c r="G33" t="s">
        <v>60</v>
      </c>
    </row>
    <row r="34" spans="1:8" x14ac:dyDescent="0.3">
      <c r="A34">
        <v>133</v>
      </c>
      <c r="B34">
        <v>3</v>
      </c>
      <c r="C34" t="s">
        <v>11</v>
      </c>
      <c r="D34" t="s">
        <v>29</v>
      </c>
      <c r="E34">
        <v>73</v>
      </c>
      <c r="F34">
        <v>193</v>
      </c>
      <c r="G34" t="s">
        <v>54</v>
      </c>
      <c r="H34" t="s">
        <v>72</v>
      </c>
    </row>
    <row r="35" spans="1:8" x14ac:dyDescent="0.3">
      <c r="A35">
        <v>133</v>
      </c>
      <c r="B35">
        <v>3</v>
      </c>
      <c r="C35" t="s">
        <v>6</v>
      </c>
      <c r="D35" t="s">
        <v>29</v>
      </c>
      <c r="E35">
        <v>73</v>
      </c>
      <c r="F35">
        <v>193</v>
      </c>
      <c r="G35" t="s">
        <v>54</v>
      </c>
      <c r="H35" t="s">
        <v>72</v>
      </c>
    </row>
    <row r="36" spans="1:8" x14ac:dyDescent="0.3">
      <c r="A36">
        <v>133</v>
      </c>
      <c r="B36">
        <v>3</v>
      </c>
      <c r="C36" t="s">
        <v>19</v>
      </c>
      <c r="D36" t="s">
        <v>29</v>
      </c>
      <c r="E36">
        <v>73</v>
      </c>
      <c r="F36">
        <v>193</v>
      </c>
      <c r="G36" t="s">
        <v>54</v>
      </c>
      <c r="H36" t="s">
        <v>72</v>
      </c>
    </row>
    <row r="37" spans="1:8" x14ac:dyDescent="0.3">
      <c r="A37">
        <v>140</v>
      </c>
      <c r="B37">
        <v>3</v>
      </c>
      <c r="C37" t="s">
        <v>8</v>
      </c>
      <c r="D37" t="s">
        <v>30</v>
      </c>
      <c r="E37">
        <v>80</v>
      </c>
      <c r="F37">
        <v>200</v>
      </c>
      <c r="G37" t="s">
        <v>54</v>
      </c>
      <c r="H37" t="s">
        <v>72</v>
      </c>
    </row>
    <row r="38" spans="1:8" x14ac:dyDescent="0.3">
      <c r="A38">
        <v>146</v>
      </c>
      <c r="B38">
        <v>6</v>
      </c>
      <c r="C38" t="s">
        <v>11</v>
      </c>
      <c r="D38" t="s">
        <v>31</v>
      </c>
      <c r="E38">
        <v>86</v>
      </c>
      <c r="F38">
        <v>206</v>
      </c>
      <c r="G38" t="s">
        <v>54</v>
      </c>
    </row>
    <row r="39" spans="1:8" x14ac:dyDescent="0.3">
      <c r="A39">
        <v>146</v>
      </c>
      <c r="B39">
        <v>6</v>
      </c>
      <c r="C39" t="s">
        <v>8</v>
      </c>
      <c r="D39" t="s">
        <v>31</v>
      </c>
      <c r="E39">
        <v>86</v>
      </c>
      <c r="F39">
        <v>206</v>
      </c>
      <c r="G39" t="s">
        <v>54</v>
      </c>
    </row>
    <row r="40" spans="1:8" x14ac:dyDescent="0.3">
      <c r="A40">
        <v>146</v>
      </c>
      <c r="B40">
        <v>6</v>
      </c>
      <c r="C40" t="s">
        <v>19</v>
      </c>
      <c r="D40" t="s">
        <v>31</v>
      </c>
      <c r="E40">
        <v>86</v>
      </c>
      <c r="F40">
        <v>206</v>
      </c>
      <c r="G40" t="s">
        <v>54</v>
      </c>
    </row>
    <row r="41" spans="1:8" x14ac:dyDescent="0.3">
      <c r="A41">
        <v>151</v>
      </c>
      <c r="B41">
        <v>6</v>
      </c>
      <c r="C41" t="s">
        <v>6</v>
      </c>
      <c r="D41" t="s">
        <v>32</v>
      </c>
      <c r="E41">
        <v>91</v>
      </c>
      <c r="F41">
        <v>211</v>
      </c>
      <c r="G41" t="s">
        <v>54</v>
      </c>
    </row>
    <row r="42" spans="1:8" x14ac:dyDescent="0.3">
      <c r="A42">
        <v>154</v>
      </c>
      <c r="B42">
        <v>2</v>
      </c>
      <c r="C42" t="s">
        <v>11</v>
      </c>
      <c r="D42" t="s">
        <v>33</v>
      </c>
      <c r="E42">
        <v>94</v>
      </c>
      <c r="F42">
        <v>214</v>
      </c>
      <c r="G42" t="s">
        <v>54</v>
      </c>
    </row>
    <row r="43" spans="1:8" x14ac:dyDescent="0.3">
      <c r="A43">
        <v>154</v>
      </c>
      <c r="B43">
        <v>2</v>
      </c>
      <c r="C43" t="s">
        <v>8</v>
      </c>
      <c r="D43" t="s">
        <v>33</v>
      </c>
      <c r="E43">
        <v>94</v>
      </c>
      <c r="F43">
        <v>214</v>
      </c>
      <c r="G43" t="s">
        <v>54</v>
      </c>
    </row>
    <row r="44" spans="1:8" x14ac:dyDescent="0.3">
      <c r="A44">
        <v>154</v>
      </c>
      <c r="B44">
        <v>2</v>
      </c>
      <c r="C44" t="s">
        <v>6</v>
      </c>
      <c r="D44" t="s">
        <v>33</v>
      </c>
      <c r="E44">
        <v>94</v>
      </c>
      <c r="F44">
        <v>214</v>
      </c>
      <c r="G44" t="s">
        <v>54</v>
      </c>
    </row>
    <row r="45" spans="1:8" x14ac:dyDescent="0.3">
      <c r="A45">
        <v>154</v>
      </c>
      <c r="B45">
        <v>2</v>
      </c>
      <c r="C45" t="s">
        <v>19</v>
      </c>
      <c r="D45" t="s">
        <v>33</v>
      </c>
      <c r="E45">
        <v>94</v>
      </c>
      <c r="F45">
        <v>214</v>
      </c>
      <c r="G45" t="s">
        <v>54</v>
      </c>
    </row>
    <row r="46" spans="1:8" x14ac:dyDescent="0.3">
      <c r="A46">
        <v>157</v>
      </c>
      <c r="B46">
        <v>1</v>
      </c>
      <c r="C46" t="s">
        <v>11</v>
      </c>
      <c r="D46" t="s">
        <v>34</v>
      </c>
      <c r="E46">
        <v>97</v>
      </c>
      <c r="F46">
        <v>217</v>
      </c>
      <c r="G46" t="s">
        <v>54</v>
      </c>
    </row>
    <row r="47" spans="1:8" x14ac:dyDescent="0.3">
      <c r="A47">
        <v>157</v>
      </c>
      <c r="B47">
        <v>1</v>
      </c>
      <c r="C47" t="s">
        <v>8</v>
      </c>
      <c r="D47" t="s">
        <v>34</v>
      </c>
      <c r="E47">
        <v>97</v>
      </c>
      <c r="F47">
        <v>217</v>
      </c>
      <c r="G47" t="s">
        <v>54</v>
      </c>
    </row>
    <row r="48" spans="1:8" x14ac:dyDescent="0.3">
      <c r="A48">
        <v>157</v>
      </c>
      <c r="B48">
        <v>1</v>
      </c>
      <c r="C48" t="s">
        <v>6</v>
      </c>
      <c r="D48" t="s">
        <v>34</v>
      </c>
      <c r="E48">
        <v>97</v>
      </c>
      <c r="F48">
        <v>217</v>
      </c>
      <c r="G48" t="s">
        <v>54</v>
      </c>
    </row>
    <row r="49" spans="1:7" x14ac:dyDescent="0.3">
      <c r="A49">
        <v>157</v>
      </c>
      <c r="B49">
        <v>1</v>
      </c>
      <c r="C49" t="s">
        <v>19</v>
      </c>
      <c r="D49" t="s">
        <v>34</v>
      </c>
      <c r="E49">
        <v>97</v>
      </c>
      <c r="F49">
        <v>217</v>
      </c>
      <c r="G49" t="s">
        <v>54</v>
      </c>
    </row>
    <row r="50" spans="1:7" x14ac:dyDescent="0.3">
      <c r="A50">
        <v>176</v>
      </c>
      <c r="B50">
        <v>6</v>
      </c>
      <c r="C50" t="s">
        <v>11</v>
      </c>
      <c r="D50" t="s">
        <v>35</v>
      </c>
      <c r="E50">
        <v>116</v>
      </c>
      <c r="F50">
        <v>236</v>
      </c>
      <c r="G50" t="s">
        <v>54</v>
      </c>
    </row>
    <row r="51" spans="1:7" x14ac:dyDescent="0.3">
      <c r="A51">
        <v>176</v>
      </c>
      <c r="B51">
        <v>6</v>
      </c>
      <c r="C51" t="s">
        <v>8</v>
      </c>
      <c r="D51" t="s">
        <v>35</v>
      </c>
      <c r="E51">
        <v>116</v>
      </c>
      <c r="F51">
        <v>236</v>
      </c>
      <c r="G51" t="s">
        <v>54</v>
      </c>
    </row>
    <row r="52" spans="1:7" x14ac:dyDescent="0.3">
      <c r="A52">
        <v>176</v>
      </c>
      <c r="B52">
        <v>6</v>
      </c>
      <c r="C52" t="s">
        <v>19</v>
      </c>
      <c r="D52" t="s">
        <v>35</v>
      </c>
      <c r="E52">
        <v>116</v>
      </c>
      <c r="F52">
        <v>236</v>
      </c>
      <c r="G52" t="s">
        <v>54</v>
      </c>
    </row>
    <row r="53" spans="1:7" x14ac:dyDescent="0.3">
      <c r="A53">
        <v>181</v>
      </c>
      <c r="B53">
        <v>6</v>
      </c>
      <c r="C53" t="s">
        <v>6</v>
      </c>
      <c r="D53" t="s">
        <v>36</v>
      </c>
      <c r="E53">
        <v>121</v>
      </c>
      <c r="F53">
        <v>241</v>
      </c>
      <c r="G53" t="s">
        <v>54</v>
      </c>
    </row>
    <row r="54" spans="1:7" x14ac:dyDescent="0.3">
      <c r="A54">
        <v>184</v>
      </c>
      <c r="B54">
        <v>2</v>
      </c>
      <c r="C54" t="s">
        <v>11</v>
      </c>
      <c r="D54" t="s">
        <v>37</v>
      </c>
      <c r="E54">
        <v>124</v>
      </c>
      <c r="F54">
        <v>244</v>
      </c>
      <c r="G54" t="s">
        <v>54</v>
      </c>
    </row>
    <row r="55" spans="1:7" x14ac:dyDescent="0.3">
      <c r="A55">
        <v>184</v>
      </c>
      <c r="B55">
        <v>2</v>
      </c>
      <c r="C55" t="s">
        <v>8</v>
      </c>
      <c r="D55" t="s">
        <v>37</v>
      </c>
      <c r="E55">
        <v>124</v>
      </c>
      <c r="F55">
        <v>244</v>
      </c>
      <c r="G55" t="s">
        <v>54</v>
      </c>
    </row>
    <row r="56" spans="1:7" x14ac:dyDescent="0.3">
      <c r="A56">
        <v>184</v>
      </c>
      <c r="B56">
        <v>2</v>
      </c>
      <c r="C56" t="s">
        <v>6</v>
      </c>
      <c r="D56" t="s">
        <v>37</v>
      </c>
      <c r="E56">
        <v>124</v>
      </c>
      <c r="F56">
        <v>244</v>
      </c>
      <c r="G56" t="s">
        <v>54</v>
      </c>
    </row>
    <row r="57" spans="1:7" x14ac:dyDescent="0.3">
      <c r="A57">
        <v>184</v>
      </c>
      <c r="B57">
        <v>2</v>
      </c>
      <c r="C57" t="s">
        <v>19</v>
      </c>
      <c r="D57" t="s">
        <v>37</v>
      </c>
      <c r="E57">
        <v>124</v>
      </c>
      <c r="F57">
        <v>244</v>
      </c>
      <c r="G57" t="s">
        <v>54</v>
      </c>
    </row>
    <row r="58" spans="1:7" x14ac:dyDescent="0.3">
      <c r="A58">
        <v>188</v>
      </c>
      <c r="B58">
        <v>1</v>
      </c>
      <c r="C58" t="s">
        <v>11</v>
      </c>
      <c r="D58" t="s">
        <v>38</v>
      </c>
      <c r="E58">
        <v>128</v>
      </c>
      <c r="F58">
        <v>248</v>
      </c>
      <c r="G58" t="s">
        <v>54</v>
      </c>
    </row>
    <row r="59" spans="1:7" x14ac:dyDescent="0.3">
      <c r="A59">
        <v>188</v>
      </c>
      <c r="B59">
        <v>1</v>
      </c>
      <c r="C59" t="s">
        <v>8</v>
      </c>
      <c r="D59" t="s">
        <v>38</v>
      </c>
      <c r="E59">
        <v>128</v>
      </c>
      <c r="F59">
        <v>248</v>
      </c>
      <c r="G59" t="s">
        <v>54</v>
      </c>
    </row>
    <row r="60" spans="1:7" x14ac:dyDescent="0.3">
      <c r="A60">
        <v>188</v>
      </c>
      <c r="B60">
        <v>1</v>
      </c>
      <c r="C60" t="s">
        <v>6</v>
      </c>
      <c r="D60" t="s">
        <v>38</v>
      </c>
      <c r="E60">
        <v>128</v>
      </c>
      <c r="F60">
        <v>248</v>
      </c>
      <c r="G60" t="s">
        <v>54</v>
      </c>
    </row>
    <row r="61" spans="1:7" x14ac:dyDescent="0.3">
      <c r="A61">
        <v>188</v>
      </c>
      <c r="B61">
        <v>1</v>
      </c>
      <c r="C61" t="s">
        <v>19</v>
      </c>
      <c r="D61" t="s">
        <v>38</v>
      </c>
      <c r="E61">
        <v>128</v>
      </c>
      <c r="F61">
        <v>248</v>
      </c>
      <c r="G61" t="s">
        <v>54</v>
      </c>
    </row>
    <row r="62" spans="1:7" x14ac:dyDescent="0.3">
      <c r="A62">
        <v>206</v>
      </c>
      <c r="B62">
        <v>6</v>
      </c>
      <c r="C62" t="s">
        <v>11</v>
      </c>
      <c r="D62" t="s">
        <v>39</v>
      </c>
      <c r="E62">
        <v>146</v>
      </c>
      <c r="F62">
        <v>266</v>
      </c>
      <c r="G62" t="s">
        <v>54</v>
      </c>
    </row>
    <row r="63" spans="1:7" x14ac:dyDescent="0.3">
      <c r="A63">
        <v>206</v>
      </c>
      <c r="B63">
        <v>6</v>
      </c>
      <c r="C63" t="s">
        <v>8</v>
      </c>
      <c r="D63" t="s">
        <v>39</v>
      </c>
      <c r="E63">
        <v>146</v>
      </c>
      <c r="F63">
        <v>266</v>
      </c>
      <c r="G63" t="s">
        <v>54</v>
      </c>
    </row>
    <row r="64" spans="1:7" x14ac:dyDescent="0.3">
      <c r="A64">
        <v>206</v>
      </c>
      <c r="B64">
        <v>6</v>
      </c>
      <c r="C64" t="s">
        <v>19</v>
      </c>
      <c r="D64" t="s">
        <v>39</v>
      </c>
      <c r="E64">
        <v>146</v>
      </c>
      <c r="F64">
        <v>266</v>
      </c>
      <c r="G64" t="s">
        <v>54</v>
      </c>
    </row>
    <row r="65" spans="1:8" x14ac:dyDescent="0.3">
      <c r="A65">
        <v>211</v>
      </c>
      <c r="B65">
        <v>6</v>
      </c>
      <c r="C65" t="s">
        <v>6</v>
      </c>
      <c r="D65" t="s">
        <v>40</v>
      </c>
      <c r="E65">
        <v>151</v>
      </c>
      <c r="F65">
        <v>271</v>
      </c>
      <c r="G65" t="s">
        <v>54</v>
      </c>
    </row>
    <row r="66" spans="1:8" x14ac:dyDescent="0.3">
      <c r="A66">
        <v>227</v>
      </c>
      <c r="B66">
        <v>1</v>
      </c>
      <c r="C66" t="s">
        <v>11</v>
      </c>
      <c r="D66" t="s">
        <v>41</v>
      </c>
      <c r="E66">
        <v>167</v>
      </c>
      <c r="F66">
        <v>287</v>
      </c>
      <c r="G66" t="s">
        <v>54</v>
      </c>
    </row>
    <row r="67" spans="1:8" x14ac:dyDescent="0.3">
      <c r="A67">
        <v>227</v>
      </c>
      <c r="B67">
        <v>1</v>
      </c>
      <c r="C67" t="s">
        <v>6</v>
      </c>
      <c r="D67" t="s">
        <v>41</v>
      </c>
      <c r="E67">
        <v>167</v>
      </c>
      <c r="F67">
        <v>287</v>
      </c>
      <c r="G67" t="s">
        <v>54</v>
      </c>
    </row>
    <row r="68" spans="1:8" x14ac:dyDescent="0.3">
      <c r="A68">
        <v>227</v>
      </c>
      <c r="B68">
        <v>1</v>
      </c>
      <c r="C68" t="s">
        <v>19</v>
      </c>
      <c r="D68" t="s">
        <v>41</v>
      </c>
      <c r="E68">
        <v>167</v>
      </c>
      <c r="F68">
        <v>287</v>
      </c>
      <c r="G68" t="s">
        <v>54</v>
      </c>
    </row>
    <row r="69" spans="1:8" x14ac:dyDescent="0.3">
      <c r="A69">
        <v>229</v>
      </c>
      <c r="B69">
        <v>3</v>
      </c>
      <c r="C69" t="s">
        <v>11</v>
      </c>
      <c r="D69" t="s">
        <v>42</v>
      </c>
      <c r="E69">
        <v>169</v>
      </c>
      <c r="F69">
        <v>289</v>
      </c>
      <c r="G69" t="s">
        <v>54</v>
      </c>
      <c r="H69" t="s">
        <v>73</v>
      </c>
    </row>
    <row r="70" spans="1:8" x14ac:dyDescent="0.3">
      <c r="A70">
        <v>229</v>
      </c>
      <c r="B70">
        <v>3</v>
      </c>
      <c r="C70" t="s">
        <v>6</v>
      </c>
      <c r="D70" t="s">
        <v>42</v>
      </c>
      <c r="E70">
        <v>169</v>
      </c>
      <c r="F70">
        <v>289</v>
      </c>
      <c r="G70" t="s">
        <v>54</v>
      </c>
      <c r="H70" t="s">
        <v>73</v>
      </c>
    </row>
    <row r="71" spans="1:8" x14ac:dyDescent="0.3">
      <c r="A71">
        <v>229</v>
      </c>
      <c r="B71">
        <v>3</v>
      </c>
      <c r="C71" t="s">
        <v>19</v>
      </c>
      <c r="D71" t="s">
        <v>42</v>
      </c>
      <c r="E71">
        <v>169</v>
      </c>
      <c r="F71">
        <v>289</v>
      </c>
      <c r="G71" t="s">
        <v>54</v>
      </c>
      <c r="H71" t="s">
        <v>73</v>
      </c>
    </row>
    <row r="72" spans="1:8" x14ac:dyDescent="0.3">
      <c r="A72">
        <v>245</v>
      </c>
      <c r="B72">
        <v>6</v>
      </c>
      <c r="C72" t="s">
        <v>11</v>
      </c>
      <c r="D72" t="s">
        <v>43</v>
      </c>
      <c r="E72">
        <v>185</v>
      </c>
      <c r="F72">
        <v>305</v>
      </c>
      <c r="G72" t="s">
        <v>54</v>
      </c>
    </row>
    <row r="73" spans="1:8" x14ac:dyDescent="0.3">
      <c r="A73">
        <v>245</v>
      </c>
      <c r="B73">
        <v>6</v>
      </c>
      <c r="C73" t="s">
        <v>6</v>
      </c>
      <c r="D73" t="s">
        <v>43</v>
      </c>
      <c r="E73">
        <v>185</v>
      </c>
      <c r="F73">
        <v>305</v>
      </c>
      <c r="G73" t="s">
        <v>54</v>
      </c>
    </row>
    <row r="74" spans="1:8" x14ac:dyDescent="0.3">
      <c r="A74">
        <v>245</v>
      </c>
      <c r="B74">
        <v>6</v>
      </c>
      <c r="C74" t="s">
        <v>19</v>
      </c>
      <c r="D74" t="s">
        <v>43</v>
      </c>
      <c r="E74">
        <v>185</v>
      </c>
      <c r="F74">
        <v>305</v>
      </c>
      <c r="G74" t="s">
        <v>54</v>
      </c>
    </row>
    <row r="75" spans="1:8" x14ac:dyDescent="0.3">
      <c r="A75">
        <v>257</v>
      </c>
      <c r="B75">
        <v>1</v>
      </c>
      <c r="C75" t="s">
        <v>11</v>
      </c>
      <c r="D75" t="s">
        <v>44</v>
      </c>
      <c r="E75">
        <v>197</v>
      </c>
      <c r="F75">
        <v>317</v>
      </c>
      <c r="G75" t="s">
        <v>54</v>
      </c>
    </row>
    <row r="76" spans="1:8" x14ac:dyDescent="0.3">
      <c r="A76">
        <v>257</v>
      </c>
      <c r="B76">
        <v>1</v>
      </c>
      <c r="C76" t="s">
        <v>6</v>
      </c>
      <c r="D76" t="s">
        <v>44</v>
      </c>
      <c r="E76">
        <v>197</v>
      </c>
      <c r="F76">
        <v>317</v>
      </c>
      <c r="G76" t="s">
        <v>54</v>
      </c>
    </row>
    <row r="77" spans="1:8" x14ac:dyDescent="0.3">
      <c r="A77">
        <v>257</v>
      </c>
      <c r="B77">
        <v>1</v>
      </c>
      <c r="C77" t="s">
        <v>19</v>
      </c>
      <c r="D77" t="s">
        <v>44</v>
      </c>
      <c r="E77">
        <v>197</v>
      </c>
      <c r="F77">
        <v>317</v>
      </c>
      <c r="G77" t="s">
        <v>54</v>
      </c>
    </row>
    <row r="78" spans="1:8" x14ac:dyDescent="0.3">
      <c r="A78">
        <v>257</v>
      </c>
      <c r="B78">
        <v>2</v>
      </c>
      <c r="C78" t="s">
        <v>11</v>
      </c>
      <c r="D78" t="s">
        <v>44</v>
      </c>
      <c r="E78">
        <v>197</v>
      </c>
      <c r="F78">
        <v>317</v>
      </c>
      <c r="G78" t="s">
        <v>54</v>
      </c>
    </row>
    <row r="79" spans="1:8" x14ac:dyDescent="0.3">
      <c r="A79">
        <v>257</v>
      </c>
      <c r="B79">
        <v>2</v>
      </c>
      <c r="C79" t="s">
        <v>6</v>
      </c>
      <c r="D79" t="s">
        <v>44</v>
      </c>
      <c r="E79">
        <v>197</v>
      </c>
      <c r="F79">
        <v>317</v>
      </c>
      <c r="G79" t="s">
        <v>54</v>
      </c>
    </row>
    <row r="80" spans="1:8" x14ac:dyDescent="0.3">
      <c r="A80">
        <v>257</v>
      </c>
      <c r="B80">
        <v>2</v>
      </c>
      <c r="C80" t="s">
        <v>19</v>
      </c>
      <c r="D80" t="s">
        <v>44</v>
      </c>
      <c r="E80">
        <v>197</v>
      </c>
      <c r="F80">
        <v>317</v>
      </c>
      <c r="G80" t="s">
        <v>54</v>
      </c>
    </row>
    <row r="81" spans="1:8" x14ac:dyDescent="0.3">
      <c r="A81">
        <v>275</v>
      </c>
      <c r="B81">
        <v>6</v>
      </c>
      <c r="C81" t="s">
        <v>11</v>
      </c>
      <c r="D81" t="s">
        <v>45</v>
      </c>
      <c r="E81">
        <v>215</v>
      </c>
      <c r="F81">
        <v>335</v>
      </c>
      <c r="G81" t="s">
        <v>54</v>
      </c>
    </row>
    <row r="82" spans="1:8" x14ac:dyDescent="0.3">
      <c r="A82">
        <v>275</v>
      </c>
      <c r="B82">
        <v>6</v>
      </c>
      <c r="C82" t="s">
        <v>6</v>
      </c>
      <c r="D82" t="s">
        <v>45</v>
      </c>
      <c r="E82">
        <v>215</v>
      </c>
      <c r="F82">
        <v>335</v>
      </c>
      <c r="G82" t="s">
        <v>54</v>
      </c>
    </row>
    <row r="83" spans="1:8" x14ac:dyDescent="0.3">
      <c r="A83">
        <v>275</v>
      </c>
      <c r="B83">
        <v>6</v>
      </c>
      <c r="C83" t="s">
        <v>19</v>
      </c>
      <c r="D83" t="s">
        <v>45</v>
      </c>
      <c r="E83">
        <v>215</v>
      </c>
      <c r="F83">
        <v>335</v>
      </c>
      <c r="G83" t="s">
        <v>54</v>
      </c>
    </row>
    <row r="84" spans="1:8" x14ac:dyDescent="0.3">
      <c r="A84">
        <v>314</v>
      </c>
      <c r="B84">
        <v>6</v>
      </c>
      <c r="C84" t="s">
        <v>11</v>
      </c>
      <c r="D84" t="s">
        <v>46</v>
      </c>
      <c r="E84">
        <v>254</v>
      </c>
      <c r="F84">
        <v>374</v>
      </c>
      <c r="G84" t="s">
        <v>54</v>
      </c>
    </row>
    <row r="85" spans="1:8" x14ac:dyDescent="0.3">
      <c r="A85">
        <v>314</v>
      </c>
      <c r="B85">
        <v>6</v>
      </c>
      <c r="C85" t="s">
        <v>6</v>
      </c>
      <c r="D85" t="s">
        <v>46</v>
      </c>
      <c r="E85">
        <v>254</v>
      </c>
      <c r="F85">
        <v>374</v>
      </c>
      <c r="G85" t="s">
        <v>54</v>
      </c>
    </row>
    <row r="86" spans="1:8" x14ac:dyDescent="0.3">
      <c r="A86">
        <v>314</v>
      </c>
      <c r="B86">
        <v>6</v>
      </c>
      <c r="C86" t="s">
        <v>19</v>
      </c>
      <c r="D86" t="s">
        <v>46</v>
      </c>
      <c r="E86">
        <v>254</v>
      </c>
      <c r="F86">
        <v>374</v>
      </c>
      <c r="G86" t="s">
        <v>54</v>
      </c>
    </row>
    <row r="87" spans="1:8" x14ac:dyDescent="0.3">
      <c r="A87">
        <v>326</v>
      </c>
      <c r="B87">
        <v>20</v>
      </c>
      <c r="C87" t="s">
        <v>6</v>
      </c>
      <c r="D87" t="s">
        <v>47</v>
      </c>
      <c r="E87">
        <v>266</v>
      </c>
      <c r="F87">
        <v>386</v>
      </c>
      <c r="G87" t="s">
        <v>55</v>
      </c>
      <c r="H87" t="s">
        <v>74</v>
      </c>
    </row>
    <row r="88" spans="1:8" x14ac:dyDescent="0.3">
      <c r="A88">
        <v>352</v>
      </c>
      <c r="B88">
        <v>6</v>
      </c>
      <c r="C88" t="s">
        <v>11</v>
      </c>
      <c r="D88" t="s">
        <v>48</v>
      </c>
      <c r="E88">
        <v>292</v>
      </c>
      <c r="F88">
        <v>412</v>
      </c>
      <c r="G88" t="s">
        <v>54</v>
      </c>
    </row>
    <row r="89" spans="1:8" x14ac:dyDescent="0.3">
      <c r="A89">
        <v>352</v>
      </c>
      <c r="B89">
        <v>6</v>
      </c>
      <c r="C89" t="s">
        <v>6</v>
      </c>
      <c r="D89" t="s">
        <v>48</v>
      </c>
      <c r="E89">
        <v>292</v>
      </c>
      <c r="F89">
        <v>412</v>
      </c>
      <c r="G89" t="s">
        <v>54</v>
      </c>
    </row>
    <row r="90" spans="1:8" x14ac:dyDescent="0.3">
      <c r="A90">
        <v>352</v>
      </c>
      <c r="B90">
        <v>6</v>
      </c>
      <c r="C90" t="s">
        <v>19</v>
      </c>
      <c r="D90" t="s">
        <v>48</v>
      </c>
      <c r="E90">
        <v>292</v>
      </c>
      <c r="F90">
        <v>412</v>
      </c>
      <c r="G90" t="s">
        <v>54</v>
      </c>
    </row>
    <row r="91" spans="1:8" x14ac:dyDescent="0.3">
      <c r="A91">
        <v>382</v>
      </c>
      <c r="B91">
        <v>6</v>
      </c>
      <c r="C91" t="s">
        <v>11</v>
      </c>
      <c r="D91" t="s">
        <v>49</v>
      </c>
      <c r="E91">
        <v>322</v>
      </c>
      <c r="F91">
        <v>442</v>
      </c>
      <c r="G91" t="s">
        <v>54</v>
      </c>
    </row>
    <row r="92" spans="1:8" x14ac:dyDescent="0.3">
      <c r="A92">
        <v>382</v>
      </c>
      <c r="B92">
        <v>6</v>
      </c>
      <c r="C92" t="s">
        <v>6</v>
      </c>
      <c r="D92" t="s">
        <v>49</v>
      </c>
      <c r="E92">
        <v>322</v>
      </c>
      <c r="F92">
        <v>442</v>
      </c>
      <c r="G92" t="s">
        <v>54</v>
      </c>
    </row>
    <row r="93" spans="1:8" x14ac:dyDescent="0.3">
      <c r="A93">
        <v>382</v>
      </c>
      <c r="B93">
        <v>6</v>
      </c>
      <c r="C93" t="s">
        <v>19</v>
      </c>
      <c r="D93" t="s">
        <v>49</v>
      </c>
      <c r="E93">
        <v>322</v>
      </c>
      <c r="F93">
        <v>442</v>
      </c>
      <c r="G93" t="s">
        <v>54</v>
      </c>
    </row>
    <row r="94" spans="1:8" x14ac:dyDescent="0.3">
      <c r="A94">
        <v>387</v>
      </c>
      <c r="B94">
        <v>24</v>
      </c>
      <c r="C94" t="s">
        <v>6</v>
      </c>
      <c r="D94" t="s">
        <v>50</v>
      </c>
      <c r="E94">
        <v>327</v>
      </c>
      <c r="F94">
        <v>447</v>
      </c>
      <c r="G94" t="s">
        <v>60</v>
      </c>
    </row>
    <row r="95" spans="1:8" x14ac:dyDescent="0.3">
      <c r="A95">
        <v>423</v>
      </c>
      <c r="B95">
        <v>6</v>
      </c>
      <c r="C95" t="s">
        <v>11</v>
      </c>
      <c r="D95" t="s">
        <v>51</v>
      </c>
      <c r="E95">
        <v>363</v>
      </c>
      <c r="F95">
        <v>483</v>
      </c>
      <c r="G95" t="s">
        <v>60</v>
      </c>
    </row>
    <row r="96" spans="1:8" x14ac:dyDescent="0.3">
      <c r="A96">
        <v>423</v>
      </c>
      <c r="B96">
        <v>6</v>
      </c>
      <c r="C96" t="s">
        <v>6</v>
      </c>
      <c r="D96" t="s">
        <v>51</v>
      </c>
      <c r="E96">
        <v>363</v>
      </c>
      <c r="F96">
        <v>483</v>
      </c>
      <c r="G96" t="s">
        <v>60</v>
      </c>
    </row>
    <row r="97" spans="1:7" x14ac:dyDescent="0.3">
      <c r="A97">
        <v>423</v>
      </c>
      <c r="B97">
        <v>6</v>
      </c>
      <c r="C97" t="s">
        <v>19</v>
      </c>
      <c r="D97" t="s">
        <v>51</v>
      </c>
      <c r="E97">
        <v>363</v>
      </c>
      <c r="F97">
        <v>483</v>
      </c>
      <c r="G97" t="s">
        <v>60</v>
      </c>
    </row>
    <row r="98" spans="1:7" x14ac:dyDescent="0.3">
      <c r="A98">
        <v>425</v>
      </c>
      <c r="B98">
        <v>1</v>
      </c>
      <c r="C98" t="s">
        <v>6</v>
      </c>
      <c r="D98" t="s">
        <v>75</v>
      </c>
      <c r="G98" t="s">
        <v>76</v>
      </c>
    </row>
    <row r="99" spans="1:7" x14ac:dyDescent="0.3">
      <c r="A99">
        <v>425</v>
      </c>
      <c r="B99">
        <v>1</v>
      </c>
      <c r="C99" t="s">
        <v>8</v>
      </c>
      <c r="G99" t="s">
        <v>76</v>
      </c>
    </row>
    <row r="100" spans="1:7" x14ac:dyDescent="0.3">
      <c r="A100">
        <v>425</v>
      </c>
      <c r="B100">
        <v>1</v>
      </c>
      <c r="C100" t="s">
        <v>19</v>
      </c>
      <c r="G100" t="s">
        <v>76</v>
      </c>
    </row>
    <row r="101" spans="1:7" x14ac:dyDescent="0.3">
      <c r="A101">
        <v>31</v>
      </c>
      <c r="B101">
        <v>2</v>
      </c>
      <c r="C101" t="s">
        <v>6</v>
      </c>
      <c r="G101" t="s">
        <v>77</v>
      </c>
    </row>
    <row r="102" spans="1:7" x14ac:dyDescent="0.3">
      <c r="G102" t="s">
        <v>76</v>
      </c>
    </row>
    <row r="103" spans="1:7" x14ac:dyDescent="0.3">
      <c r="G10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Sharma</dc:creator>
  <cp:lastModifiedBy>Rachana Sharma</cp:lastModifiedBy>
  <dcterms:created xsi:type="dcterms:W3CDTF">2026-01-13T08:34:09Z</dcterms:created>
  <dcterms:modified xsi:type="dcterms:W3CDTF">2026-01-13T09:51:20Z</dcterms:modified>
</cp:coreProperties>
</file>